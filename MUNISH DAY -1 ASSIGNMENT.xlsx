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DANLC(ANP-D0458) MONDAY 10FEB2025\"/>
    </mc:Choice>
  </mc:AlternateContent>
  <xr:revisionPtr revIDLastSave="0" documentId="13_ncr:1_{E82332F2-548E-40F3-A742-AA31FB2542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H22" i="1"/>
  <c r="H23" i="1"/>
  <c r="H24" i="1"/>
  <c r="H25" i="1"/>
  <c r="H2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H2" i="1"/>
  <c r="G2" i="1"/>
  <c r="I2" i="1" s="1"/>
  <c r="G3" i="1"/>
  <c r="I3" i="1" s="1"/>
  <c r="G4" i="1"/>
  <c r="I4" i="1"/>
  <c r="G5" i="1"/>
  <c r="I5" i="1" s="1"/>
  <c r="G6" i="1"/>
  <c r="I6" i="1"/>
  <c r="G7" i="1"/>
  <c r="I7" i="1"/>
  <c r="G8" i="1"/>
  <c r="I8" i="1" s="1"/>
  <c r="G9" i="1"/>
  <c r="I9" i="1" s="1"/>
  <c r="G10" i="1"/>
  <c r="I10" i="1" s="1"/>
  <c r="G11" i="1"/>
  <c r="I11" i="1"/>
  <c r="G12" i="1"/>
  <c r="I12" i="1"/>
  <c r="G13" i="1"/>
  <c r="I13" i="1" s="1"/>
  <c r="G14" i="1"/>
  <c r="I14" i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/>
</calcChain>
</file>

<file path=xl/sharedStrings.xml><?xml version="1.0" encoding="utf-8"?>
<sst xmlns="http://schemas.openxmlformats.org/spreadsheetml/2006/main" count="35" uniqueCount="35">
  <si>
    <t>Student Name</t>
  </si>
  <si>
    <t>English</t>
  </si>
  <si>
    <t>Hindi</t>
  </si>
  <si>
    <t>Math</t>
  </si>
  <si>
    <t>Science</t>
  </si>
  <si>
    <t>Social Studies</t>
  </si>
  <si>
    <t>Aarav</t>
  </si>
  <si>
    <t>Vivaan</t>
  </si>
  <si>
    <t>Aditya</t>
  </si>
  <si>
    <t>Vihaan</t>
  </si>
  <si>
    <t>Arjun</t>
  </si>
  <si>
    <t>Sai</t>
  </si>
  <si>
    <t>Krishna</t>
  </si>
  <si>
    <t>Ayaan</t>
  </si>
  <si>
    <t>Ishaan</t>
  </si>
  <si>
    <t>Kabir</t>
  </si>
  <si>
    <t>Ananya</t>
  </si>
  <si>
    <t>Saanvi</t>
  </si>
  <si>
    <t>Aadhya</t>
  </si>
  <si>
    <t>Pari</t>
  </si>
  <si>
    <t>Diya</t>
  </si>
  <si>
    <t>Myra</t>
  </si>
  <si>
    <t>Ira</t>
  </si>
  <si>
    <t>Avni</t>
  </si>
  <si>
    <t>Riya</t>
  </si>
  <si>
    <t>Tanvi</t>
  </si>
  <si>
    <t>Meera</t>
  </si>
  <si>
    <t>Charvi</t>
  </si>
  <si>
    <t>Navya</t>
  </si>
  <si>
    <t>Kiara</t>
  </si>
  <si>
    <t>Aarohi</t>
  </si>
  <si>
    <t>TOTAL</t>
  </si>
  <si>
    <t>PERCENTILE</t>
  </si>
  <si>
    <t>MIN. MARKS</t>
  </si>
  <si>
    <t xml:space="preserve">RESULT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</si>
</sst>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901AFC-243F-4953-B8DC-44AE306964FA}">
  <we:reference id="wa200001584" version="3.0.1.5" store="en-US" storeType="OMEX"/>
  <we:alternateReferences>
    <we:reference id="wa200001584" version="3.0.1.5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P5" sqref="P5"/>
    </sheetView>
  </sheetViews>
  <sheetFormatPr defaultRowHeight="14.4" x14ac:dyDescent="0.3"/>
  <cols>
    <col min="1" max="1" width="13.21875" bestFit="1" customWidth="1"/>
    <col min="2" max="2" width="6.88671875" bestFit="1" customWidth="1"/>
    <col min="3" max="3" width="5.33203125" bestFit="1" customWidth="1"/>
    <col min="4" max="4" width="5.5546875" bestFit="1" customWidth="1"/>
    <col min="5" max="5" width="7.33203125" bestFit="1" customWidth="1"/>
    <col min="6" max="6" width="12.44140625" bestFit="1" customWidth="1"/>
    <col min="8" max="8" width="11.88671875" bestFit="1" customWidth="1"/>
    <col min="9" max="9" width="11.109375" bestFit="1" customWidth="1"/>
    <col min="10" max="10" width="11.109375" customWidth="1"/>
    <col min="11" max="12" width="8.77734375" bestFit="1" customWidth="1"/>
  </cols>
  <sheetData>
    <row r="1" spans="1:12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31</v>
      </c>
      <c r="H1" s="2" t="s">
        <v>33</v>
      </c>
      <c r="I1" s="2" t="s">
        <v>32</v>
      </c>
      <c r="J1" s="2" t="s">
        <v>34</v>
      </c>
      <c r="L1" s="1"/>
    </row>
    <row r="2" spans="1:12" ht="15.6" x14ac:dyDescent="0.3">
      <c r="A2" s="3" t="s">
        <v>6</v>
      </c>
      <c r="B2" s="3">
        <v>32</v>
      </c>
      <c r="C2" s="3">
        <v>38</v>
      </c>
      <c r="D2" s="3">
        <v>85</v>
      </c>
      <c r="E2" s="3">
        <v>58</v>
      </c>
      <c r="F2" s="3">
        <v>96</v>
      </c>
      <c r="G2" s="3">
        <f>SUM(B2:F2)</f>
        <v>309</v>
      </c>
      <c r="H2" s="3">
        <f t="shared" ref="H2:H26" si="0">MIN(B2:F2)</f>
        <v>32</v>
      </c>
      <c r="I2" s="3">
        <f>G2/500*100</f>
        <v>61.8</v>
      </c>
      <c r="J2" s="3" t="str">
        <f>IF(H2&gt;=40,"PASS","FAIL")</f>
        <v>FAIL</v>
      </c>
    </row>
    <row r="3" spans="1:12" ht="15.6" x14ac:dyDescent="0.3">
      <c r="A3" s="3" t="s">
        <v>7</v>
      </c>
      <c r="B3" s="3">
        <v>94</v>
      </c>
      <c r="C3" s="3">
        <v>92</v>
      </c>
      <c r="D3" s="3">
        <v>100</v>
      </c>
      <c r="E3" s="3">
        <v>82</v>
      </c>
      <c r="F3" s="3">
        <v>95</v>
      </c>
      <c r="G3" s="3">
        <f>SUM(B3:F3)</f>
        <v>463</v>
      </c>
      <c r="H3" s="3">
        <f t="shared" si="0"/>
        <v>82</v>
      </c>
      <c r="I3" s="3">
        <f>G3/500*100</f>
        <v>92.600000000000009</v>
      </c>
      <c r="J3" s="3" t="str">
        <f t="shared" ref="J3:J26" si="1">IF(H3&gt;=40,"PASS","FAIL")</f>
        <v>PASS</v>
      </c>
    </row>
    <row r="4" spans="1:12" ht="15.6" x14ac:dyDescent="0.3">
      <c r="A4" s="3" t="s">
        <v>8</v>
      </c>
      <c r="B4" s="3">
        <v>99</v>
      </c>
      <c r="C4" s="3">
        <v>62</v>
      </c>
      <c r="D4" s="3">
        <v>48</v>
      </c>
      <c r="E4" s="3">
        <v>89</v>
      </c>
      <c r="F4" s="3">
        <v>84</v>
      </c>
      <c r="G4" s="3">
        <f>SUM(B4:F4)</f>
        <v>382</v>
      </c>
      <c r="H4" s="3">
        <f t="shared" si="0"/>
        <v>48</v>
      </c>
      <c r="I4" s="3">
        <f>G4/500*100</f>
        <v>76.400000000000006</v>
      </c>
      <c r="J4" s="3" t="str">
        <f t="shared" si="1"/>
        <v>PASS</v>
      </c>
    </row>
    <row r="5" spans="1:12" ht="15.6" x14ac:dyDescent="0.3">
      <c r="A5" s="3" t="s">
        <v>9</v>
      </c>
      <c r="B5" s="3">
        <v>92</v>
      </c>
      <c r="C5" s="3">
        <v>56</v>
      </c>
      <c r="D5" s="3">
        <v>94</v>
      </c>
      <c r="E5" s="3">
        <v>67</v>
      </c>
      <c r="F5" s="3">
        <v>54</v>
      </c>
      <c r="G5" s="3">
        <f t="shared" ref="G5:G26" si="2">SUM(B5:F5)</f>
        <v>363</v>
      </c>
      <c r="H5" s="3">
        <f t="shared" si="0"/>
        <v>54</v>
      </c>
      <c r="I5" s="3">
        <f t="shared" ref="I5:I26" si="3">G5/500*100</f>
        <v>72.599999999999994</v>
      </c>
      <c r="J5" s="3" t="str">
        <f t="shared" si="1"/>
        <v>PASS</v>
      </c>
    </row>
    <row r="6" spans="1:12" ht="15.6" x14ac:dyDescent="0.3">
      <c r="A6" s="3" t="s">
        <v>10</v>
      </c>
      <c r="B6" s="3">
        <v>43</v>
      </c>
      <c r="C6" s="3">
        <v>68</v>
      </c>
      <c r="D6" s="3">
        <v>44</v>
      </c>
      <c r="E6" s="3">
        <v>93</v>
      </c>
      <c r="F6" s="3">
        <v>38</v>
      </c>
      <c r="G6" s="3">
        <f t="shared" si="2"/>
        <v>286</v>
      </c>
      <c r="H6" s="3">
        <f t="shared" si="0"/>
        <v>38</v>
      </c>
      <c r="I6" s="3">
        <f t="shared" si="3"/>
        <v>57.199999999999996</v>
      </c>
      <c r="J6" s="3" t="str">
        <f t="shared" si="1"/>
        <v>FAIL</v>
      </c>
    </row>
    <row r="7" spans="1:12" ht="15.6" x14ac:dyDescent="0.3">
      <c r="A7" s="3" t="s">
        <v>11</v>
      </c>
      <c r="B7" s="3">
        <v>91</v>
      </c>
      <c r="C7" s="3">
        <v>87</v>
      </c>
      <c r="D7" s="3">
        <v>100</v>
      </c>
      <c r="E7" s="3">
        <v>67</v>
      </c>
      <c r="F7" s="3">
        <v>78</v>
      </c>
      <c r="G7" s="3">
        <f t="shared" si="2"/>
        <v>423</v>
      </c>
      <c r="H7" s="3">
        <f t="shared" si="0"/>
        <v>67</v>
      </c>
      <c r="I7" s="3">
        <f t="shared" si="3"/>
        <v>84.6</v>
      </c>
      <c r="J7" s="3" t="str">
        <f t="shared" si="1"/>
        <v>PASS</v>
      </c>
    </row>
    <row r="8" spans="1:12" ht="15.6" x14ac:dyDescent="0.3">
      <c r="A8" s="3" t="s">
        <v>12</v>
      </c>
      <c r="B8" s="3">
        <v>46</v>
      </c>
      <c r="C8" s="3">
        <v>39</v>
      </c>
      <c r="D8" s="3">
        <v>85</v>
      </c>
      <c r="E8" s="3">
        <v>49</v>
      </c>
      <c r="F8" s="3">
        <v>47</v>
      </c>
      <c r="G8" s="3">
        <f t="shared" si="2"/>
        <v>266</v>
      </c>
      <c r="H8" s="3">
        <f t="shared" si="0"/>
        <v>39</v>
      </c>
      <c r="I8" s="3">
        <f t="shared" si="3"/>
        <v>53.2</v>
      </c>
      <c r="J8" s="3" t="str">
        <f t="shared" si="1"/>
        <v>FAIL</v>
      </c>
    </row>
    <row r="9" spans="1:12" ht="15.6" x14ac:dyDescent="0.3">
      <c r="A9" s="3" t="s">
        <v>13</v>
      </c>
      <c r="B9" s="3">
        <v>45</v>
      </c>
      <c r="C9" s="3">
        <v>54</v>
      </c>
      <c r="D9" s="3">
        <v>77</v>
      </c>
      <c r="E9" s="3">
        <v>98</v>
      </c>
      <c r="F9" s="3">
        <v>41</v>
      </c>
      <c r="G9" s="3">
        <f t="shared" si="2"/>
        <v>315</v>
      </c>
      <c r="H9" s="3">
        <f t="shared" si="0"/>
        <v>41</v>
      </c>
      <c r="I9" s="3">
        <f t="shared" si="3"/>
        <v>63</v>
      </c>
      <c r="J9" s="3" t="str">
        <f t="shared" si="1"/>
        <v>PASS</v>
      </c>
    </row>
    <row r="10" spans="1:12" ht="15.6" x14ac:dyDescent="0.3">
      <c r="A10" s="3" t="s">
        <v>14</v>
      </c>
      <c r="B10" s="3">
        <v>100</v>
      </c>
      <c r="C10" s="3">
        <v>41</v>
      </c>
      <c r="D10" s="3">
        <v>86</v>
      </c>
      <c r="E10" s="3">
        <v>37</v>
      </c>
      <c r="F10" s="3">
        <v>39</v>
      </c>
      <c r="G10" s="3">
        <f t="shared" si="2"/>
        <v>303</v>
      </c>
      <c r="H10" s="3">
        <f t="shared" si="0"/>
        <v>37</v>
      </c>
      <c r="I10" s="3">
        <f t="shared" si="3"/>
        <v>60.6</v>
      </c>
      <c r="J10" s="3" t="str">
        <f t="shared" si="1"/>
        <v>FAIL</v>
      </c>
    </row>
    <row r="11" spans="1:12" ht="15.6" x14ac:dyDescent="0.3">
      <c r="A11" s="3" t="s">
        <v>15</v>
      </c>
      <c r="B11" s="3">
        <v>82</v>
      </c>
      <c r="C11" s="3">
        <v>32</v>
      </c>
      <c r="D11" s="3">
        <v>40</v>
      </c>
      <c r="E11" s="3">
        <v>35</v>
      </c>
      <c r="F11" s="3">
        <v>91</v>
      </c>
      <c r="G11" s="3">
        <f t="shared" si="2"/>
        <v>280</v>
      </c>
      <c r="H11" s="3">
        <f t="shared" si="0"/>
        <v>32</v>
      </c>
      <c r="I11" s="3">
        <f t="shared" si="3"/>
        <v>56.000000000000007</v>
      </c>
      <c r="J11" s="3" t="str">
        <f t="shared" si="1"/>
        <v>FAIL</v>
      </c>
    </row>
    <row r="12" spans="1:12" ht="15.6" x14ac:dyDescent="0.3">
      <c r="A12" s="3" t="s">
        <v>16</v>
      </c>
      <c r="B12" s="3">
        <v>84</v>
      </c>
      <c r="C12" s="3">
        <v>56</v>
      </c>
      <c r="D12" s="3">
        <v>80</v>
      </c>
      <c r="E12" s="3">
        <v>78</v>
      </c>
      <c r="F12" s="3">
        <v>38</v>
      </c>
      <c r="G12" s="3">
        <f t="shared" si="2"/>
        <v>336</v>
      </c>
      <c r="H12" s="3">
        <f t="shared" si="0"/>
        <v>38</v>
      </c>
      <c r="I12" s="3">
        <f t="shared" si="3"/>
        <v>67.2</v>
      </c>
      <c r="J12" s="3" t="str">
        <f t="shared" si="1"/>
        <v>FAIL</v>
      </c>
    </row>
    <row r="13" spans="1:12" ht="15.6" x14ac:dyDescent="0.3">
      <c r="A13" s="3" t="s">
        <v>17</v>
      </c>
      <c r="B13" s="3">
        <v>48</v>
      </c>
      <c r="C13" s="3">
        <v>98</v>
      </c>
      <c r="D13" s="3">
        <v>35</v>
      </c>
      <c r="E13" s="3">
        <v>54</v>
      </c>
      <c r="F13" s="3">
        <v>95</v>
      </c>
      <c r="G13" s="3">
        <f t="shared" si="2"/>
        <v>330</v>
      </c>
      <c r="H13" s="3">
        <f t="shared" si="0"/>
        <v>35</v>
      </c>
      <c r="I13" s="3">
        <f t="shared" si="3"/>
        <v>66</v>
      </c>
      <c r="J13" s="3" t="str">
        <f t="shared" si="1"/>
        <v>FAIL</v>
      </c>
    </row>
    <row r="14" spans="1:12" ht="15.6" x14ac:dyDescent="0.3">
      <c r="A14" s="3" t="s">
        <v>18</v>
      </c>
      <c r="B14" s="3">
        <v>92</v>
      </c>
      <c r="C14" s="3">
        <v>76</v>
      </c>
      <c r="D14" s="3">
        <v>46</v>
      </c>
      <c r="E14" s="3">
        <v>63</v>
      </c>
      <c r="F14" s="3">
        <v>63</v>
      </c>
      <c r="G14" s="3">
        <f t="shared" si="2"/>
        <v>340</v>
      </c>
      <c r="H14" s="3">
        <f t="shared" si="0"/>
        <v>46</v>
      </c>
      <c r="I14" s="3">
        <f t="shared" si="3"/>
        <v>68</v>
      </c>
      <c r="J14" s="3" t="str">
        <f t="shared" si="1"/>
        <v>PASS</v>
      </c>
    </row>
    <row r="15" spans="1:12" ht="15.6" x14ac:dyDescent="0.3">
      <c r="A15" s="3" t="s">
        <v>19</v>
      </c>
      <c r="B15" s="3">
        <v>60</v>
      </c>
      <c r="C15" s="3">
        <v>38</v>
      </c>
      <c r="D15" s="3">
        <v>48</v>
      </c>
      <c r="E15" s="3">
        <v>77</v>
      </c>
      <c r="F15" s="3">
        <v>78</v>
      </c>
      <c r="G15" s="3">
        <f t="shared" si="2"/>
        <v>301</v>
      </c>
      <c r="H15" s="3">
        <f t="shared" si="0"/>
        <v>38</v>
      </c>
      <c r="I15" s="3">
        <f t="shared" si="3"/>
        <v>60.199999999999996</v>
      </c>
      <c r="J15" s="3" t="str">
        <f t="shared" si="1"/>
        <v>FAIL</v>
      </c>
    </row>
    <row r="16" spans="1:12" ht="15.6" x14ac:dyDescent="0.3">
      <c r="A16" s="3" t="s">
        <v>20</v>
      </c>
      <c r="B16" s="3">
        <v>97</v>
      </c>
      <c r="C16" s="3">
        <v>73</v>
      </c>
      <c r="D16" s="3">
        <v>55</v>
      </c>
      <c r="E16" s="3">
        <v>86</v>
      </c>
      <c r="F16" s="3">
        <v>88</v>
      </c>
      <c r="G16" s="3">
        <f t="shared" si="2"/>
        <v>399</v>
      </c>
      <c r="H16" s="3">
        <f t="shared" si="0"/>
        <v>55</v>
      </c>
      <c r="I16" s="3">
        <f t="shared" si="3"/>
        <v>79.800000000000011</v>
      </c>
      <c r="J16" s="3" t="str">
        <f t="shared" si="1"/>
        <v>PASS</v>
      </c>
    </row>
    <row r="17" spans="1:10" ht="15.6" x14ac:dyDescent="0.3">
      <c r="A17" s="3" t="s">
        <v>21</v>
      </c>
      <c r="B17" s="3">
        <v>40</v>
      </c>
      <c r="C17" s="3">
        <v>94</v>
      </c>
      <c r="D17" s="3">
        <v>90</v>
      </c>
      <c r="E17" s="3">
        <v>68</v>
      </c>
      <c r="F17" s="3">
        <v>53</v>
      </c>
      <c r="G17" s="3">
        <f t="shared" si="2"/>
        <v>345</v>
      </c>
      <c r="H17" s="3">
        <f t="shared" si="0"/>
        <v>40</v>
      </c>
      <c r="I17" s="3">
        <f t="shared" si="3"/>
        <v>69</v>
      </c>
      <c r="J17" s="3" t="str">
        <f t="shared" si="1"/>
        <v>PASS</v>
      </c>
    </row>
    <row r="18" spans="1:10" ht="15.6" x14ac:dyDescent="0.3">
      <c r="A18" s="3" t="s">
        <v>22</v>
      </c>
      <c r="B18" s="3">
        <v>86</v>
      </c>
      <c r="C18" s="3">
        <v>28</v>
      </c>
      <c r="D18" s="3">
        <v>72</v>
      </c>
      <c r="E18" s="3">
        <v>49</v>
      </c>
      <c r="F18" s="3">
        <v>35</v>
      </c>
      <c r="G18" s="3">
        <f t="shared" si="2"/>
        <v>270</v>
      </c>
      <c r="H18" s="3">
        <f t="shared" si="0"/>
        <v>28</v>
      </c>
      <c r="I18" s="3">
        <f t="shared" si="3"/>
        <v>54</v>
      </c>
      <c r="J18" s="3" t="str">
        <f t="shared" si="1"/>
        <v>FAIL</v>
      </c>
    </row>
    <row r="19" spans="1:10" ht="15.6" x14ac:dyDescent="0.3">
      <c r="A19" s="3" t="s">
        <v>23</v>
      </c>
      <c r="B19" s="3">
        <v>57</v>
      </c>
      <c r="C19" s="3">
        <v>45</v>
      </c>
      <c r="D19" s="3">
        <v>92</v>
      </c>
      <c r="E19" s="3">
        <v>81</v>
      </c>
      <c r="F19" s="3">
        <v>71</v>
      </c>
      <c r="G19" s="3">
        <f t="shared" si="2"/>
        <v>346</v>
      </c>
      <c r="H19" s="3">
        <f t="shared" si="0"/>
        <v>45</v>
      </c>
      <c r="I19" s="3">
        <f t="shared" si="3"/>
        <v>69.199999999999989</v>
      </c>
      <c r="J19" s="3" t="str">
        <f t="shared" si="1"/>
        <v>PASS</v>
      </c>
    </row>
    <row r="20" spans="1:10" ht="15.6" x14ac:dyDescent="0.3">
      <c r="A20" s="3" t="s">
        <v>24</v>
      </c>
      <c r="B20" s="3">
        <v>89</v>
      </c>
      <c r="C20" s="3">
        <v>56</v>
      </c>
      <c r="D20" s="3">
        <v>62</v>
      </c>
      <c r="E20" s="3">
        <v>78</v>
      </c>
      <c r="F20" s="3">
        <v>94</v>
      </c>
      <c r="G20" s="3">
        <f t="shared" si="2"/>
        <v>379</v>
      </c>
      <c r="H20" s="3">
        <f t="shared" si="0"/>
        <v>56</v>
      </c>
      <c r="I20" s="3">
        <f t="shared" si="3"/>
        <v>75.8</v>
      </c>
      <c r="J20" s="3" t="str">
        <f t="shared" si="1"/>
        <v>PASS</v>
      </c>
    </row>
    <row r="21" spans="1:10" ht="15.6" x14ac:dyDescent="0.3">
      <c r="A21" s="3" t="s">
        <v>25</v>
      </c>
      <c r="B21" s="3">
        <v>41</v>
      </c>
      <c r="C21" s="3">
        <v>78</v>
      </c>
      <c r="D21" s="3">
        <v>48</v>
      </c>
      <c r="E21" s="3">
        <v>44</v>
      </c>
      <c r="F21" s="3">
        <v>96</v>
      </c>
      <c r="G21" s="3">
        <f t="shared" si="2"/>
        <v>307</v>
      </c>
      <c r="H21" s="3">
        <f t="shared" si="0"/>
        <v>41</v>
      </c>
      <c r="I21" s="3">
        <f t="shared" si="3"/>
        <v>61.4</v>
      </c>
      <c r="J21" s="3" t="str">
        <f t="shared" si="1"/>
        <v>PASS</v>
      </c>
    </row>
    <row r="22" spans="1:10" ht="15.6" x14ac:dyDescent="0.3">
      <c r="A22" s="3" t="s">
        <v>26</v>
      </c>
      <c r="B22" s="3">
        <v>83</v>
      </c>
      <c r="C22" s="3">
        <v>62</v>
      </c>
      <c r="D22" s="3">
        <v>70</v>
      </c>
      <c r="E22" s="3">
        <v>100</v>
      </c>
      <c r="F22" s="3">
        <v>78</v>
      </c>
      <c r="G22" s="3">
        <f t="shared" si="2"/>
        <v>393</v>
      </c>
      <c r="H22" s="3">
        <f t="shared" si="0"/>
        <v>62</v>
      </c>
      <c r="I22" s="3">
        <f t="shared" si="3"/>
        <v>78.600000000000009</v>
      </c>
      <c r="J22" s="3" t="str">
        <f t="shared" si="1"/>
        <v>PASS</v>
      </c>
    </row>
    <row r="23" spans="1:10" ht="15.6" x14ac:dyDescent="0.3">
      <c r="A23" s="3" t="s">
        <v>27</v>
      </c>
      <c r="B23" s="3">
        <v>62</v>
      </c>
      <c r="C23" s="3">
        <v>36</v>
      </c>
      <c r="D23" s="3">
        <v>98</v>
      </c>
      <c r="E23" s="3">
        <v>68</v>
      </c>
      <c r="F23" s="3">
        <v>90</v>
      </c>
      <c r="G23" s="3">
        <f t="shared" si="2"/>
        <v>354</v>
      </c>
      <c r="H23" s="3">
        <f t="shared" si="0"/>
        <v>36</v>
      </c>
      <c r="I23" s="3">
        <f t="shared" si="3"/>
        <v>70.8</v>
      </c>
      <c r="J23" s="3" t="str">
        <f t="shared" si="1"/>
        <v>FAIL</v>
      </c>
    </row>
    <row r="24" spans="1:10" ht="15.6" x14ac:dyDescent="0.3">
      <c r="A24" s="3" t="s">
        <v>28</v>
      </c>
      <c r="B24" s="3">
        <v>37</v>
      </c>
      <c r="C24" s="3">
        <v>67</v>
      </c>
      <c r="D24" s="3">
        <v>86</v>
      </c>
      <c r="E24" s="3">
        <v>57</v>
      </c>
      <c r="F24" s="3">
        <v>81</v>
      </c>
      <c r="G24" s="3">
        <f t="shared" si="2"/>
        <v>328</v>
      </c>
      <c r="H24" s="3">
        <f t="shared" si="0"/>
        <v>37</v>
      </c>
      <c r="I24" s="3">
        <f t="shared" si="3"/>
        <v>65.600000000000009</v>
      </c>
      <c r="J24" s="3" t="str">
        <f t="shared" si="1"/>
        <v>FAIL</v>
      </c>
    </row>
    <row r="25" spans="1:10" ht="15.6" x14ac:dyDescent="0.3">
      <c r="A25" s="3" t="s">
        <v>29</v>
      </c>
      <c r="B25" s="3">
        <v>62</v>
      </c>
      <c r="C25" s="3">
        <v>62</v>
      </c>
      <c r="D25" s="3">
        <v>71</v>
      </c>
      <c r="E25" s="3">
        <v>99</v>
      </c>
      <c r="F25" s="3">
        <v>36</v>
      </c>
      <c r="G25" s="3">
        <f t="shared" si="2"/>
        <v>330</v>
      </c>
      <c r="H25" s="3">
        <f t="shared" si="0"/>
        <v>36</v>
      </c>
      <c r="I25" s="3">
        <f t="shared" si="3"/>
        <v>66</v>
      </c>
      <c r="J25" s="3" t="str">
        <f t="shared" si="1"/>
        <v>FAIL</v>
      </c>
    </row>
    <row r="26" spans="1:10" ht="15.6" x14ac:dyDescent="0.3">
      <c r="A26" s="3" t="s">
        <v>30</v>
      </c>
      <c r="B26" s="3">
        <v>40</v>
      </c>
      <c r="C26" s="3">
        <v>43</v>
      </c>
      <c r="D26" s="3">
        <v>43</v>
      </c>
      <c r="E26" s="3">
        <v>91</v>
      </c>
      <c r="F26" s="3">
        <v>45</v>
      </c>
      <c r="G26" s="3">
        <f t="shared" si="2"/>
        <v>262</v>
      </c>
      <c r="H26" s="3">
        <f t="shared" si="0"/>
        <v>40</v>
      </c>
      <c r="I26" s="3">
        <f t="shared" si="3"/>
        <v>52.400000000000006</v>
      </c>
      <c r="J26" s="3" t="str">
        <f t="shared" si="1"/>
        <v>PASS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2025-02-11T06:50:22Z</dcterms:created>
  <dcterms:modified xsi:type="dcterms:W3CDTF">2025-02-12T04:23:29Z</dcterms:modified>
</cp:coreProperties>
</file>